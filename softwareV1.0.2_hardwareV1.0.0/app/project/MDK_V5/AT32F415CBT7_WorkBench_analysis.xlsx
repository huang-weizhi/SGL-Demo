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m_percent" sheetId="1" r:id="rId1"/>
    <sheet name="flash_percent" sheetId="2" r:id="rId2"/>
  </sheets>
  <calcPr calcId="124519" fullCalcOnLoad="1"/>
</workbook>
</file>

<file path=xl/sharedStrings.xml><?xml version="1.0" encoding="utf-8"?>
<sst xmlns="http://schemas.openxmlformats.org/spreadsheetml/2006/main" count="61" uniqueCount="48">
  <si>
    <t>AT32F415CBT7_WorkBench</t>
  </si>
  <si>
    <t>lto-llvm-ee4f0d.o</t>
  </si>
  <si>
    <t>startup_at32f415.o</t>
  </si>
  <si>
    <t>c_w.l</t>
  </si>
  <si>
    <t>libspace.o</t>
  </si>
  <si>
    <t>fz_ws.l</t>
  </si>
  <si>
    <t>faddsub_clz.o</t>
  </si>
  <si>
    <t>fmul.o</t>
  </si>
  <si>
    <t>fnaninf.o</t>
  </si>
  <si>
    <t>rt_memcpy_v6.o</t>
  </si>
  <si>
    <t>fleqf.o</t>
  </si>
  <si>
    <t>fgeqf.o</t>
  </si>
  <si>
    <t>feqf.o</t>
  </si>
  <si>
    <t>rt_memcpy_w.o</t>
  </si>
  <si>
    <t>__scatter.o</t>
  </si>
  <si>
    <t>fcmp.o</t>
  </si>
  <si>
    <t>rt_memclr_w.o</t>
  </si>
  <si>
    <t>sys_stackheap_outer.o</t>
  </si>
  <si>
    <t>ffixu.o</t>
  </si>
  <si>
    <t>__dczerorl.o</t>
  </si>
  <si>
    <t>fflt_clz.o</t>
  </si>
  <si>
    <t>__scatter_zi.o</t>
  </si>
  <si>
    <t>fcmpi.o</t>
  </si>
  <si>
    <t>exit.o</t>
  </si>
  <si>
    <t>aeabi_memset4.o</t>
  </si>
  <si>
    <t>sys_exit.o</t>
  </si>
  <si>
    <t>__rtentry2.o</t>
  </si>
  <si>
    <t>fretinf.o</t>
  </si>
  <si>
    <t>rtexit2.o</t>
  </si>
  <si>
    <t>__main.o</t>
  </si>
  <si>
    <t>heapauxi.o</t>
  </si>
  <si>
    <t>__rtentry4.o</t>
  </si>
  <si>
    <t>use_no_semi.o</t>
  </si>
  <si>
    <t>rtexit.o</t>
  </si>
  <si>
    <t>libshutdown2.o</t>
  </si>
  <si>
    <t>libshutdown.o</t>
  </si>
  <si>
    <t>libinit2.o</t>
  </si>
  <si>
    <t>libinit.o</t>
  </si>
  <si>
    <t>File_name</t>
  </si>
  <si>
    <t>Totals</t>
  </si>
  <si>
    <t>ram_percent</t>
  </si>
  <si>
    <t>ram</t>
  </si>
  <si>
    <t>flash</t>
  </si>
  <si>
    <t>Code</t>
  </si>
  <si>
    <t>RO_data</t>
  </si>
  <si>
    <t>RW_data</t>
  </si>
  <si>
    <t>ZI_data</t>
  </si>
  <si>
    <t>flash_percent</t>
  </si>
</sst>
</file>

<file path=xl/styles.xml><?xml version="1.0" encoding="utf-8"?>
<styleSheet xmlns="http://schemas.openxmlformats.org/spreadsheetml/2006/main">
  <numFmts count="1">
    <numFmt numFmtId="164" formatCode="0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file percent in used ram 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piechart_ram</c:v>
          </c:tx>
          <c:cat>
            <c:strRef>
              <c:f>ram_percent!$A$3:$A$40</c:f>
              <c:strCache>
                <c:ptCount val="38"/>
                <c:pt idx="0">
                  <c:v>lto-llvm-ee4f0d.o</c:v>
                </c:pt>
                <c:pt idx="1">
                  <c:v>startup_at32f415.o</c:v>
                </c:pt>
                <c:pt idx="2">
                  <c:v>c_w.l</c:v>
                </c:pt>
                <c:pt idx="3">
                  <c:v>libspace.o</c:v>
                </c:pt>
                <c:pt idx="37">
                  <c:v>Totals</c:v>
                </c:pt>
              </c:strCache>
            </c:strRef>
          </c:cat>
          <c:val>
            <c:numRef>
              <c:f>ram_percent!$B$3:$B$40</c:f>
              <c:numCache>
                <c:formatCode>General</c:formatCode>
                <c:ptCount val="38"/>
                <c:pt idx="0">
                  <c:v>91.67389678955078</c:v>
                </c:pt>
                <c:pt idx="1">
                  <c:v>7.400982856750488</c:v>
                </c:pt>
                <c:pt idx="2">
                  <c:v>0.4625614285469055</c:v>
                </c:pt>
                <c:pt idx="3">
                  <c:v>0.4625614285469055</c:v>
                </c:pt>
                <c:pt idx="37">
                  <c:v>0</c:v>
                </c:pt>
              </c:numCache>
            </c:numRef>
          </c:val>
        </c:ser>
        <c:firstSliceAng val="9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file percent in used flash 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piechart_flash</c:v>
          </c:tx>
          <c:cat>
            <c:strRef>
              <c:f>flash_percent!$A$3:$A$40</c:f>
              <c:strCache>
                <c:ptCount val="38"/>
                <c:pt idx="0">
                  <c:v>lto-llvm-ee4f0d.o</c:v>
                </c:pt>
                <c:pt idx="1">
                  <c:v>fz_ws.l</c:v>
                </c:pt>
                <c:pt idx="2">
                  <c:v>c_w.l</c:v>
                </c:pt>
                <c:pt idx="3">
                  <c:v>startup_at32f415.o</c:v>
                </c:pt>
                <c:pt idx="4">
                  <c:v>faddsub_clz.o</c:v>
                </c:pt>
                <c:pt idx="5">
                  <c:v>fmul.o</c:v>
                </c:pt>
                <c:pt idx="6">
                  <c:v>fnaninf.o</c:v>
                </c:pt>
                <c:pt idx="7">
                  <c:v>rt_memcpy_v6.o</c:v>
                </c:pt>
                <c:pt idx="8">
                  <c:v>fleqf.o</c:v>
                </c:pt>
                <c:pt idx="9">
                  <c:v>fgeqf.o</c:v>
                </c:pt>
                <c:pt idx="10">
                  <c:v>feqf.o</c:v>
                </c:pt>
                <c:pt idx="11">
                  <c:v>rt_memcpy_w.o</c:v>
                </c:pt>
                <c:pt idx="12">
                  <c:v>__scatter.o</c:v>
                </c:pt>
                <c:pt idx="13">
                  <c:v>fcmp.o</c:v>
                </c:pt>
                <c:pt idx="14">
                  <c:v>rt_memclr_w.o</c:v>
                </c:pt>
                <c:pt idx="15">
                  <c:v>sys_stackheap_outer.o</c:v>
                </c:pt>
                <c:pt idx="16">
                  <c:v>ffixu.o</c:v>
                </c:pt>
                <c:pt idx="17">
                  <c:v>__dczerorl.o</c:v>
                </c:pt>
                <c:pt idx="18">
                  <c:v>fflt_clz.o</c:v>
                </c:pt>
                <c:pt idx="19">
                  <c:v>__scatter_zi.o</c:v>
                </c:pt>
                <c:pt idx="20">
                  <c:v>fcmpi.o</c:v>
                </c:pt>
                <c:pt idx="21">
                  <c:v>exit.o</c:v>
                </c:pt>
                <c:pt idx="22">
                  <c:v>aeabi_memset4.o</c:v>
                </c:pt>
                <c:pt idx="23">
                  <c:v>sys_exit.o</c:v>
                </c:pt>
                <c:pt idx="24">
                  <c:v>__rtentry2.o</c:v>
                </c:pt>
                <c:pt idx="25">
                  <c:v>fretinf.o</c:v>
                </c:pt>
                <c:pt idx="26">
                  <c:v>rtexit2.o</c:v>
                </c:pt>
                <c:pt idx="27">
                  <c:v>libspace.o</c:v>
                </c:pt>
                <c:pt idx="28">
                  <c:v>__main.o</c:v>
                </c:pt>
                <c:pt idx="29">
                  <c:v>heapauxi.o</c:v>
                </c:pt>
                <c:pt idx="30">
                  <c:v>__rtentry4.o</c:v>
                </c:pt>
                <c:pt idx="31">
                  <c:v>use_no_semi.o</c:v>
                </c:pt>
                <c:pt idx="32">
                  <c:v>rtexit.o</c:v>
                </c:pt>
                <c:pt idx="33">
                  <c:v>libshutdown2.o</c:v>
                </c:pt>
                <c:pt idx="34">
                  <c:v>libshutdown.o</c:v>
                </c:pt>
                <c:pt idx="35">
                  <c:v>libinit2.o</c:v>
                </c:pt>
                <c:pt idx="36">
                  <c:v>libinit.o</c:v>
                </c:pt>
                <c:pt idx="37">
                  <c:v>Totals</c:v>
                </c:pt>
              </c:strCache>
            </c:strRef>
          </c:cat>
          <c:val>
            <c:numRef>
              <c:f>flash_percent!$B$3:$B$40</c:f>
              <c:numCache>
                <c:formatCode>General</c:formatCode>
                <c:ptCount val="38"/>
                <c:pt idx="0">
                  <c:v>85.28828430175781</c:v>
                </c:pt>
                <c:pt idx="1">
                  <c:v>4.448636054992676</c:v>
                </c:pt>
                <c:pt idx="2">
                  <c:v>2.204806327819824</c:v>
                </c:pt>
                <c:pt idx="3">
                  <c:v>1.404832363128662</c:v>
                </c:pt>
                <c:pt idx="4">
                  <c:v>1.398328542709351</c:v>
                </c:pt>
                <c:pt idx="5">
                  <c:v>0.8389971256256104</c:v>
                </c:pt>
                <c:pt idx="6">
                  <c:v>0.4552697539329529</c:v>
                </c:pt>
                <c:pt idx="7">
                  <c:v>0.448765903711319</c:v>
                </c:pt>
                <c:pt idx="8">
                  <c:v>0.3382003903388977</c:v>
                </c:pt>
                <c:pt idx="9">
                  <c:v>0.3382003903388977</c:v>
                </c:pt>
                <c:pt idx="10">
                  <c:v>0.3382003903388977</c:v>
                </c:pt>
                <c:pt idx="11">
                  <c:v>0.3251926898956299</c:v>
                </c:pt>
                <c:pt idx="12">
                  <c:v>0.3056811094284058</c:v>
                </c:pt>
                <c:pt idx="13">
                  <c:v>0.2731618583202362</c:v>
                </c:pt>
                <c:pt idx="14">
                  <c:v>0.2536502778530121</c:v>
                </c:pt>
                <c:pt idx="15">
                  <c:v>0.2406425774097443</c:v>
                </c:pt>
                <c:pt idx="16">
                  <c:v>0.2016194611787796</c:v>
                </c:pt>
                <c:pt idx="17">
                  <c:v>0.1886117458343506</c:v>
                </c:pt>
                <c:pt idx="18">
                  <c:v>0.1560924798250198</c:v>
                </c:pt>
                <c:pt idx="19">
                  <c:v>0.09105394780635834</c:v>
                </c:pt>
                <c:pt idx="20">
                  <c:v>0.07804623991250992</c:v>
                </c:pt>
                <c:pt idx="21">
                  <c:v>0.05853468179702759</c:v>
                </c:pt>
                <c:pt idx="22">
                  <c:v>0.05203082785010338</c:v>
                </c:pt>
                <c:pt idx="23">
                  <c:v>0.03902311995625496</c:v>
                </c:pt>
                <c:pt idx="24">
                  <c:v>0.03902311995625496</c:v>
                </c:pt>
                <c:pt idx="25">
                  <c:v>0.03251926600933075</c:v>
                </c:pt>
                <c:pt idx="26">
                  <c:v>0.03251926600933075</c:v>
                </c:pt>
                <c:pt idx="27">
                  <c:v>0.02601541392505169</c:v>
                </c:pt>
                <c:pt idx="28">
                  <c:v>0.02601541392505169</c:v>
                </c:pt>
                <c:pt idx="29">
                  <c:v>0.01951155997812748</c:v>
                </c:pt>
                <c:pt idx="30">
                  <c:v>0.01951155997812748</c:v>
                </c:pt>
                <c:pt idx="31">
                  <c:v>0.006503853481262922</c:v>
                </c:pt>
                <c:pt idx="32">
                  <c:v>0.006503853481262922</c:v>
                </c:pt>
                <c:pt idx="33">
                  <c:v>0.006503853481262922</c:v>
                </c:pt>
                <c:pt idx="34">
                  <c:v>0.006503853481262922</c:v>
                </c:pt>
                <c:pt idx="35">
                  <c:v>0.006503853481262922</c:v>
                </c:pt>
                <c:pt idx="36">
                  <c:v>0.006503853481262922</c:v>
                </c:pt>
                <c:pt idx="37">
                  <c:v>0</c:v>
                </c:pt>
              </c:numCache>
            </c:numRef>
          </c:val>
        </c:ser>
        <c:firstSliceAng val="9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2:H40" totalsRowCount="1">
  <autoFilter ref="A2:H39"/>
  <tableColumns count="8">
    <tableColumn id="1" name="File_name" totalsRowLabel="Totals"/>
    <tableColumn id="2" name="ram_percent" totalsRowFunction="sum"/>
    <tableColumn id="3" name="ram" totalsRowFunction="sum"/>
    <tableColumn id="4" name="flash" totalsRowFunction="sum"/>
    <tableColumn id="5" name="Code" totalsRowFunction="sum"/>
    <tableColumn id="6" name="RO_data" totalsRowFunction="sum"/>
    <tableColumn id="7" name="RW_data" totalsRowFunction="sum"/>
    <tableColumn id="8" name="ZI_data" totalsRowFunction="sum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2:H40" totalsRowCount="1">
  <autoFilter ref="A2:H39"/>
  <tableColumns count="8">
    <tableColumn id="1" name="File_name" totalsRowLabel="Totals"/>
    <tableColumn id="2" name="flash_percent" totalsRowFunction="sum"/>
    <tableColumn id="3" name="flash" totalsRowFunction="sum"/>
    <tableColumn id="4" name="ram" totalsRowFunction="sum"/>
    <tableColumn id="5" name="Code" totalsRowFunction="sum"/>
    <tableColumn id="6" name="RO_data" totalsRowFunction="sum"/>
    <tableColumn id="7" name="RW_data" totalsRowFunction="sum"/>
    <tableColumn id="8" name="ZI_data" totalsRowFunction="sum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0"/>
  <sheetViews>
    <sheetView tabSelected="1" workbookViewId="0"/>
  </sheetViews>
  <sheetFormatPr defaultRowHeight="15"/>
  <cols>
    <col min="1" max="8" width="16.7109375" customWidth="1"/>
  </cols>
  <sheetData>
    <row r="1" spans="1:8">
      <c r="A1" t="s">
        <v>0</v>
      </c>
    </row>
    <row r="2" spans="1:8">
      <c r="A2" t="s">
        <v>38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</row>
    <row r="3" spans="1:8">
      <c r="A3" s="1" t="s">
        <v>1</v>
      </c>
      <c r="B3" s="2">
        <v>91.67389678955078</v>
      </c>
      <c r="C3" s="1">
        <v>19026</v>
      </c>
      <c r="D3" s="1">
        <v>26227</v>
      </c>
      <c r="E3" s="1">
        <v>25848</v>
      </c>
      <c r="F3" s="1">
        <v>28</v>
      </c>
      <c r="G3" s="1">
        <v>351</v>
      </c>
      <c r="H3" s="1">
        <v>18675</v>
      </c>
    </row>
    <row r="4" spans="1:8">
      <c r="A4" s="1" t="s">
        <v>2</v>
      </c>
      <c r="B4" s="2">
        <v>7.400982856750488</v>
      </c>
      <c r="C4" s="1">
        <v>1536</v>
      </c>
      <c r="D4" s="1">
        <v>432</v>
      </c>
      <c r="E4" s="1">
        <v>64</v>
      </c>
      <c r="F4" s="1">
        <v>368</v>
      </c>
      <c r="G4" s="1">
        <v>0</v>
      </c>
      <c r="H4" s="1">
        <v>1536</v>
      </c>
    </row>
    <row r="5" spans="1:8">
      <c r="A5" s="1" t="s">
        <v>3</v>
      </c>
      <c r="B5" s="2">
        <v>0.4625614285469055</v>
      </c>
      <c r="C5" s="1">
        <v>96</v>
      </c>
      <c r="D5" s="1">
        <v>678</v>
      </c>
      <c r="E5" s="1">
        <v>678</v>
      </c>
      <c r="F5" s="1">
        <v>0</v>
      </c>
      <c r="G5" s="1">
        <v>0</v>
      </c>
      <c r="H5" s="1">
        <v>96</v>
      </c>
    </row>
    <row r="6" spans="1:8">
      <c r="A6" s="1" t="s">
        <v>4</v>
      </c>
      <c r="B6" s="2">
        <v>0.4625614285469055</v>
      </c>
      <c r="C6" s="1">
        <v>96</v>
      </c>
      <c r="D6" s="1">
        <v>8</v>
      </c>
      <c r="E6" s="1">
        <v>8</v>
      </c>
      <c r="F6" s="1">
        <v>0</v>
      </c>
      <c r="G6" s="1">
        <v>0</v>
      </c>
      <c r="H6" s="1">
        <v>96</v>
      </c>
    </row>
    <row r="40" spans="1:8">
      <c r="A40" t="s">
        <v>39</v>
      </c>
      <c r="B40">
        <f>SUBTOTAL(109,[ram_percent])</f>
        <v>0</v>
      </c>
      <c r="C40">
        <f>SUBTOTAL(109,[ram])</f>
        <v>0</v>
      </c>
      <c r="D40">
        <f>SUBTOTAL(109,[flash])</f>
        <v>0</v>
      </c>
      <c r="E40">
        <f>SUBTOTAL(109,[Code])</f>
        <v>0</v>
      </c>
      <c r="F40">
        <f>SUBTOTAL(109,[RO_data])</f>
        <v>0</v>
      </c>
      <c r="G40">
        <f>SUBTOTAL(109,[RW_data])</f>
        <v>0</v>
      </c>
      <c r="H40">
        <f>SUBTOTAL(109,[ZI_data])</f>
        <v>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H40"/>
  <sheetViews>
    <sheetView workbookViewId="0"/>
  </sheetViews>
  <sheetFormatPr defaultRowHeight="15"/>
  <cols>
    <col min="1" max="8" width="16.7109375" customWidth="1"/>
  </cols>
  <sheetData>
    <row r="1" spans="1:8">
      <c r="A1" t="s">
        <v>0</v>
      </c>
    </row>
    <row r="2" spans="1:8">
      <c r="A2" t="s">
        <v>38</v>
      </c>
      <c r="B2" t="s">
        <v>47</v>
      </c>
      <c r="C2" t="s">
        <v>42</v>
      </c>
      <c r="D2" t="s">
        <v>41</v>
      </c>
      <c r="E2" t="s">
        <v>43</v>
      </c>
      <c r="F2" t="s">
        <v>44</v>
      </c>
      <c r="G2" t="s">
        <v>45</v>
      </c>
      <c r="H2" t="s">
        <v>46</v>
      </c>
    </row>
    <row r="3" spans="1:8">
      <c r="A3" s="1" t="s">
        <v>1</v>
      </c>
      <c r="B3" s="2">
        <v>85.28828430175781</v>
      </c>
      <c r="C3" s="1">
        <v>26227</v>
      </c>
      <c r="D3" s="1">
        <v>19026</v>
      </c>
      <c r="E3" s="1">
        <v>25848</v>
      </c>
      <c r="F3" s="1">
        <v>28</v>
      </c>
      <c r="G3" s="1">
        <v>351</v>
      </c>
      <c r="H3" s="1">
        <v>18675</v>
      </c>
    </row>
    <row r="4" spans="1:8">
      <c r="A4" s="1" t="s">
        <v>5</v>
      </c>
      <c r="B4" s="2">
        <v>4.448636054992676</v>
      </c>
      <c r="C4" s="1">
        <v>1368</v>
      </c>
      <c r="D4" s="1">
        <v>0</v>
      </c>
      <c r="E4" s="1">
        <v>1368</v>
      </c>
      <c r="F4" s="1">
        <v>0</v>
      </c>
      <c r="G4" s="1">
        <v>0</v>
      </c>
      <c r="H4" s="1">
        <v>0</v>
      </c>
    </row>
    <row r="5" spans="1:8">
      <c r="A5" s="1" t="s">
        <v>3</v>
      </c>
      <c r="B5" s="2">
        <v>2.204806327819824</v>
      </c>
      <c r="C5" s="1">
        <v>678</v>
      </c>
      <c r="D5" s="1">
        <v>96</v>
      </c>
      <c r="E5" s="1">
        <v>678</v>
      </c>
      <c r="F5" s="1">
        <v>0</v>
      </c>
      <c r="G5" s="1">
        <v>0</v>
      </c>
      <c r="H5" s="1">
        <v>96</v>
      </c>
    </row>
    <row r="6" spans="1:8">
      <c r="A6" s="1" t="s">
        <v>2</v>
      </c>
      <c r="B6" s="2">
        <v>1.404832363128662</v>
      </c>
      <c r="C6" s="1">
        <v>432</v>
      </c>
      <c r="D6" s="1">
        <v>1536</v>
      </c>
      <c r="E6" s="1">
        <v>64</v>
      </c>
      <c r="F6" s="1">
        <v>368</v>
      </c>
      <c r="G6" s="1">
        <v>0</v>
      </c>
      <c r="H6" s="1">
        <v>1536</v>
      </c>
    </row>
    <row r="7" spans="1:8">
      <c r="A7" s="1" t="s">
        <v>6</v>
      </c>
      <c r="B7" s="2">
        <v>1.398328542709351</v>
      </c>
      <c r="C7" s="1">
        <v>430</v>
      </c>
      <c r="D7" s="1">
        <v>0</v>
      </c>
      <c r="E7" s="1">
        <v>430</v>
      </c>
      <c r="F7" s="1">
        <v>0</v>
      </c>
      <c r="G7" s="1">
        <v>0</v>
      </c>
      <c r="H7" s="1">
        <v>0</v>
      </c>
    </row>
    <row r="8" spans="1:8">
      <c r="A8" s="1" t="s">
        <v>7</v>
      </c>
      <c r="B8" s="2">
        <v>0.8389971256256104</v>
      </c>
      <c r="C8" s="1">
        <v>258</v>
      </c>
      <c r="D8" s="1">
        <v>0</v>
      </c>
      <c r="E8" s="1">
        <v>258</v>
      </c>
      <c r="F8" s="1">
        <v>0</v>
      </c>
      <c r="G8" s="1">
        <v>0</v>
      </c>
      <c r="H8" s="1">
        <v>0</v>
      </c>
    </row>
    <row r="9" spans="1:8">
      <c r="A9" s="1" t="s">
        <v>8</v>
      </c>
      <c r="B9" s="2">
        <v>0.4552697539329529</v>
      </c>
      <c r="C9" s="1">
        <v>140</v>
      </c>
      <c r="D9" s="1">
        <v>0</v>
      </c>
      <c r="E9" s="1">
        <v>140</v>
      </c>
      <c r="F9" s="1">
        <v>0</v>
      </c>
      <c r="G9" s="1">
        <v>0</v>
      </c>
      <c r="H9" s="1">
        <v>0</v>
      </c>
    </row>
    <row r="10" spans="1:8">
      <c r="A10" s="1" t="s">
        <v>9</v>
      </c>
      <c r="B10" s="2">
        <v>0.448765903711319</v>
      </c>
      <c r="C10" s="1">
        <v>138</v>
      </c>
      <c r="D10" s="1">
        <v>0</v>
      </c>
      <c r="E10" s="1">
        <v>138</v>
      </c>
      <c r="F10" s="1">
        <v>0</v>
      </c>
      <c r="G10" s="1">
        <v>0</v>
      </c>
      <c r="H10" s="1">
        <v>0</v>
      </c>
    </row>
    <row r="11" spans="1:8">
      <c r="A11" s="1" t="s">
        <v>10</v>
      </c>
      <c r="B11" s="2">
        <v>0.3382003903388977</v>
      </c>
      <c r="C11" s="1">
        <v>104</v>
      </c>
      <c r="D11" s="1">
        <v>0</v>
      </c>
      <c r="E11" s="1">
        <v>104</v>
      </c>
      <c r="F11" s="1">
        <v>0</v>
      </c>
      <c r="G11" s="1">
        <v>0</v>
      </c>
      <c r="H11" s="1">
        <v>0</v>
      </c>
    </row>
    <row r="12" spans="1:8">
      <c r="A12" s="1" t="s">
        <v>11</v>
      </c>
      <c r="B12" s="2">
        <v>0.3382003903388977</v>
      </c>
      <c r="C12" s="1">
        <v>104</v>
      </c>
      <c r="D12" s="1">
        <v>0</v>
      </c>
      <c r="E12" s="1">
        <v>104</v>
      </c>
      <c r="F12" s="1">
        <v>0</v>
      </c>
      <c r="G12" s="1">
        <v>0</v>
      </c>
      <c r="H12" s="1">
        <v>0</v>
      </c>
    </row>
    <row r="13" spans="1:8">
      <c r="A13" s="1" t="s">
        <v>12</v>
      </c>
      <c r="B13" s="2">
        <v>0.3382003903388977</v>
      </c>
      <c r="C13" s="1">
        <v>104</v>
      </c>
      <c r="D13" s="1">
        <v>0</v>
      </c>
      <c r="E13" s="1">
        <v>104</v>
      </c>
      <c r="F13" s="1">
        <v>0</v>
      </c>
      <c r="G13" s="1">
        <v>0</v>
      </c>
      <c r="H13" s="1">
        <v>0</v>
      </c>
    </row>
    <row r="14" spans="1:8">
      <c r="A14" s="1" t="s">
        <v>13</v>
      </c>
      <c r="B14" s="2">
        <v>0.3251926898956299</v>
      </c>
      <c r="C14" s="1">
        <v>100</v>
      </c>
      <c r="D14" s="1">
        <v>0</v>
      </c>
      <c r="E14" s="1">
        <v>100</v>
      </c>
      <c r="F14" s="1">
        <v>0</v>
      </c>
      <c r="G14" s="1">
        <v>0</v>
      </c>
      <c r="H14" s="1">
        <v>0</v>
      </c>
    </row>
    <row r="15" spans="1:8">
      <c r="A15" s="1" t="s">
        <v>14</v>
      </c>
      <c r="B15" s="2">
        <v>0.3056811094284058</v>
      </c>
      <c r="C15" s="1">
        <v>94</v>
      </c>
      <c r="D15" s="1">
        <v>0</v>
      </c>
      <c r="E15" s="1">
        <v>94</v>
      </c>
      <c r="F15" s="1">
        <v>0</v>
      </c>
      <c r="G15" s="1">
        <v>0</v>
      </c>
      <c r="H15" s="1">
        <v>0</v>
      </c>
    </row>
    <row r="16" spans="1:8">
      <c r="A16" s="1" t="s">
        <v>15</v>
      </c>
      <c r="B16" s="2">
        <v>0.2731618583202362</v>
      </c>
      <c r="C16" s="1">
        <v>84</v>
      </c>
      <c r="D16" s="1">
        <v>0</v>
      </c>
      <c r="E16" s="1">
        <v>84</v>
      </c>
      <c r="F16" s="1">
        <v>0</v>
      </c>
      <c r="G16" s="1">
        <v>0</v>
      </c>
      <c r="H16" s="1">
        <v>0</v>
      </c>
    </row>
    <row r="17" spans="1:8">
      <c r="A17" s="1" t="s">
        <v>16</v>
      </c>
      <c r="B17" s="2">
        <v>0.2536502778530121</v>
      </c>
      <c r="C17" s="1">
        <v>78</v>
      </c>
      <c r="D17" s="1">
        <v>0</v>
      </c>
      <c r="E17" s="1">
        <v>78</v>
      </c>
      <c r="F17" s="1">
        <v>0</v>
      </c>
      <c r="G17" s="1">
        <v>0</v>
      </c>
      <c r="H17" s="1">
        <v>0</v>
      </c>
    </row>
    <row r="18" spans="1:8">
      <c r="A18" s="1" t="s">
        <v>17</v>
      </c>
      <c r="B18" s="2">
        <v>0.2406425774097443</v>
      </c>
      <c r="C18" s="1">
        <v>74</v>
      </c>
      <c r="D18" s="1">
        <v>0</v>
      </c>
      <c r="E18" s="1">
        <v>74</v>
      </c>
      <c r="F18" s="1">
        <v>0</v>
      </c>
      <c r="G18" s="1">
        <v>0</v>
      </c>
      <c r="H18" s="1">
        <v>0</v>
      </c>
    </row>
    <row r="19" spans="1:8">
      <c r="A19" s="1" t="s">
        <v>18</v>
      </c>
      <c r="B19" s="2">
        <v>0.2016194611787796</v>
      </c>
      <c r="C19" s="1">
        <v>62</v>
      </c>
      <c r="D19" s="1">
        <v>0</v>
      </c>
      <c r="E19" s="1">
        <v>62</v>
      </c>
      <c r="F19" s="1">
        <v>0</v>
      </c>
      <c r="G19" s="1">
        <v>0</v>
      </c>
      <c r="H19" s="1">
        <v>0</v>
      </c>
    </row>
    <row r="20" spans="1:8">
      <c r="A20" s="1" t="s">
        <v>19</v>
      </c>
      <c r="B20" s="2">
        <v>0.1886117458343506</v>
      </c>
      <c r="C20" s="1">
        <v>58</v>
      </c>
      <c r="D20" s="1">
        <v>0</v>
      </c>
      <c r="E20" s="1">
        <v>58</v>
      </c>
      <c r="F20" s="1">
        <v>0</v>
      </c>
      <c r="G20" s="1">
        <v>0</v>
      </c>
      <c r="H20" s="1">
        <v>0</v>
      </c>
    </row>
    <row r="21" spans="1:8">
      <c r="A21" s="1" t="s">
        <v>20</v>
      </c>
      <c r="B21" s="2">
        <v>0.1560924798250198</v>
      </c>
      <c r="C21" s="1">
        <v>48</v>
      </c>
      <c r="D21" s="1">
        <v>0</v>
      </c>
      <c r="E21" s="1">
        <v>48</v>
      </c>
      <c r="F21" s="1">
        <v>0</v>
      </c>
      <c r="G21" s="1">
        <v>0</v>
      </c>
      <c r="H21" s="1">
        <v>0</v>
      </c>
    </row>
    <row r="22" spans="1:8">
      <c r="A22" s="1" t="s">
        <v>21</v>
      </c>
      <c r="B22" s="2">
        <v>0.09105394780635834</v>
      </c>
      <c r="C22" s="1">
        <v>28</v>
      </c>
      <c r="D22" s="1">
        <v>0</v>
      </c>
      <c r="E22" s="1">
        <v>28</v>
      </c>
      <c r="F22" s="1">
        <v>0</v>
      </c>
      <c r="G22" s="1">
        <v>0</v>
      </c>
      <c r="H22" s="1">
        <v>0</v>
      </c>
    </row>
    <row r="23" spans="1:8">
      <c r="A23" s="1" t="s">
        <v>22</v>
      </c>
      <c r="B23" s="2">
        <v>0.07804623991250992</v>
      </c>
      <c r="C23" s="1">
        <v>24</v>
      </c>
      <c r="D23" s="1">
        <v>0</v>
      </c>
      <c r="E23" s="1">
        <v>24</v>
      </c>
      <c r="F23" s="1">
        <v>0</v>
      </c>
      <c r="G23" s="1">
        <v>0</v>
      </c>
      <c r="H23" s="1">
        <v>0</v>
      </c>
    </row>
    <row r="24" spans="1:8">
      <c r="A24" s="1" t="s">
        <v>23</v>
      </c>
      <c r="B24" s="2">
        <v>0.05853468179702759</v>
      </c>
      <c r="C24" s="1">
        <v>18</v>
      </c>
      <c r="D24" s="1">
        <v>0</v>
      </c>
      <c r="E24" s="1">
        <v>18</v>
      </c>
      <c r="F24" s="1">
        <v>0</v>
      </c>
      <c r="G24" s="1">
        <v>0</v>
      </c>
      <c r="H24" s="1">
        <v>0</v>
      </c>
    </row>
    <row r="25" spans="1:8">
      <c r="A25" s="1" t="s">
        <v>24</v>
      </c>
      <c r="B25" s="2">
        <v>0.05203082785010338</v>
      </c>
      <c r="C25" s="1">
        <v>16</v>
      </c>
      <c r="D25" s="1">
        <v>0</v>
      </c>
      <c r="E25" s="1">
        <v>16</v>
      </c>
      <c r="F25" s="1">
        <v>0</v>
      </c>
      <c r="G25" s="1">
        <v>0</v>
      </c>
      <c r="H25" s="1">
        <v>0</v>
      </c>
    </row>
    <row r="26" spans="1:8">
      <c r="A26" s="1" t="s">
        <v>25</v>
      </c>
      <c r="B26" s="2">
        <v>0.03902311995625496</v>
      </c>
      <c r="C26" s="1">
        <v>12</v>
      </c>
      <c r="D26" s="1">
        <v>0</v>
      </c>
      <c r="E26" s="1">
        <v>12</v>
      </c>
      <c r="F26" s="1">
        <v>0</v>
      </c>
      <c r="G26" s="1">
        <v>0</v>
      </c>
      <c r="H26" s="1">
        <v>0</v>
      </c>
    </row>
    <row r="27" spans="1:8">
      <c r="A27" s="1" t="s">
        <v>26</v>
      </c>
      <c r="B27" s="2">
        <v>0.03902311995625496</v>
      </c>
      <c r="C27" s="1">
        <v>12</v>
      </c>
      <c r="D27" s="1">
        <v>0</v>
      </c>
      <c r="E27" s="1">
        <v>12</v>
      </c>
      <c r="F27" s="1">
        <v>0</v>
      </c>
      <c r="G27" s="1">
        <v>0</v>
      </c>
      <c r="H27" s="1">
        <v>0</v>
      </c>
    </row>
    <row r="28" spans="1:8">
      <c r="A28" s="1" t="s">
        <v>27</v>
      </c>
      <c r="B28" s="2">
        <v>0.03251926600933075</v>
      </c>
      <c r="C28" s="1">
        <v>10</v>
      </c>
      <c r="D28" s="1">
        <v>0</v>
      </c>
      <c r="E28" s="1">
        <v>10</v>
      </c>
      <c r="F28" s="1">
        <v>0</v>
      </c>
      <c r="G28" s="1">
        <v>0</v>
      </c>
      <c r="H28" s="1">
        <v>0</v>
      </c>
    </row>
    <row r="29" spans="1:8">
      <c r="A29" s="1" t="s">
        <v>28</v>
      </c>
      <c r="B29" s="2">
        <v>0.03251926600933075</v>
      </c>
      <c r="C29" s="1">
        <v>10</v>
      </c>
      <c r="D29" s="1">
        <v>0</v>
      </c>
      <c r="E29" s="1">
        <v>10</v>
      </c>
      <c r="F29" s="1">
        <v>0</v>
      </c>
      <c r="G29" s="1">
        <v>0</v>
      </c>
      <c r="H29" s="1">
        <v>0</v>
      </c>
    </row>
    <row r="30" spans="1:8">
      <c r="A30" s="1" t="s">
        <v>4</v>
      </c>
      <c r="B30" s="2">
        <v>0.02601541392505169</v>
      </c>
      <c r="C30" s="1">
        <v>8</v>
      </c>
      <c r="D30" s="1">
        <v>96</v>
      </c>
      <c r="E30" s="1">
        <v>8</v>
      </c>
      <c r="F30" s="1">
        <v>0</v>
      </c>
      <c r="G30" s="1">
        <v>0</v>
      </c>
      <c r="H30" s="1">
        <v>96</v>
      </c>
    </row>
    <row r="31" spans="1:8">
      <c r="A31" s="1" t="s">
        <v>29</v>
      </c>
      <c r="B31" s="2">
        <v>0.02601541392505169</v>
      </c>
      <c r="C31" s="1">
        <v>8</v>
      </c>
      <c r="D31" s="1">
        <v>0</v>
      </c>
      <c r="E31" s="1">
        <v>8</v>
      </c>
      <c r="F31" s="1">
        <v>0</v>
      </c>
      <c r="G31" s="1">
        <v>0</v>
      </c>
      <c r="H31" s="1">
        <v>0</v>
      </c>
    </row>
    <row r="32" spans="1:8">
      <c r="A32" s="1" t="s">
        <v>30</v>
      </c>
      <c r="B32" s="2">
        <v>0.01951155997812748</v>
      </c>
      <c r="C32" s="1">
        <v>6</v>
      </c>
      <c r="D32" s="1">
        <v>0</v>
      </c>
      <c r="E32" s="1">
        <v>6</v>
      </c>
      <c r="F32" s="1">
        <v>0</v>
      </c>
      <c r="G32" s="1">
        <v>0</v>
      </c>
      <c r="H32" s="1">
        <v>0</v>
      </c>
    </row>
    <row r="33" spans="1:8">
      <c r="A33" s="1" t="s">
        <v>31</v>
      </c>
      <c r="B33" s="2">
        <v>0.01951155997812748</v>
      </c>
      <c r="C33" s="1">
        <v>6</v>
      </c>
      <c r="D33" s="1">
        <v>0</v>
      </c>
      <c r="E33" s="1">
        <v>6</v>
      </c>
      <c r="F33" s="1">
        <v>0</v>
      </c>
      <c r="G33" s="1">
        <v>0</v>
      </c>
      <c r="H33" s="1">
        <v>0</v>
      </c>
    </row>
    <row r="34" spans="1:8">
      <c r="A34" s="1" t="s">
        <v>32</v>
      </c>
      <c r="B34" s="2">
        <v>0.006503853481262922</v>
      </c>
      <c r="C34" s="1">
        <v>2</v>
      </c>
      <c r="D34" s="1">
        <v>0</v>
      </c>
      <c r="E34" s="1">
        <v>2</v>
      </c>
      <c r="F34" s="1">
        <v>0</v>
      </c>
      <c r="G34" s="1">
        <v>0</v>
      </c>
      <c r="H34" s="1">
        <v>0</v>
      </c>
    </row>
    <row r="35" spans="1:8">
      <c r="A35" s="1" t="s">
        <v>33</v>
      </c>
      <c r="B35" s="2">
        <v>0.006503853481262922</v>
      </c>
      <c r="C35" s="1">
        <v>2</v>
      </c>
      <c r="D35" s="1">
        <v>0</v>
      </c>
      <c r="E35" s="1">
        <v>2</v>
      </c>
      <c r="F35" s="1">
        <v>0</v>
      </c>
      <c r="G35" s="1">
        <v>0</v>
      </c>
      <c r="H35" s="1">
        <v>0</v>
      </c>
    </row>
    <row r="36" spans="1:8">
      <c r="A36" s="1" t="s">
        <v>34</v>
      </c>
      <c r="B36" s="2">
        <v>0.006503853481262922</v>
      </c>
      <c r="C36" s="1">
        <v>2</v>
      </c>
      <c r="D36" s="1">
        <v>0</v>
      </c>
      <c r="E36" s="1">
        <v>2</v>
      </c>
      <c r="F36" s="1">
        <v>0</v>
      </c>
      <c r="G36" s="1">
        <v>0</v>
      </c>
      <c r="H36" s="1">
        <v>0</v>
      </c>
    </row>
    <row r="37" spans="1:8">
      <c r="A37" s="1" t="s">
        <v>35</v>
      </c>
      <c r="B37" s="2">
        <v>0.006503853481262922</v>
      </c>
      <c r="C37" s="1">
        <v>2</v>
      </c>
      <c r="D37" s="1">
        <v>0</v>
      </c>
      <c r="E37" s="1">
        <v>2</v>
      </c>
      <c r="F37" s="1">
        <v>0</v>
      </c>
      <c r="G37" s="1">
        <v>0</v>
      </c>
      <c r="H37" s="1">
        <v>0</v>
      </c>
    </row>
    <row r="38" spans="1:8">
      <c r="A38" s="1" t="s">
        <v>36</v>
      </c>
      <c r="B38" s="2">
        <v>0.006503853481262922</v>
      </c>
      <c r="C38" s="1">
        <v>2</v>
      </c>
      <c r="D38" s="1">
        <v>0</v>
      </c>
      <c r="E38" s="1">
        <v>2</v>
      </c>
      <c r="F38" s="1">
        <v>0</v>
      </c>
      <c r="G38" s="1">
        <v>0</v>
      </c>
      <c r="H38" s="1">
        <v>0</v>
      </c>
    </row>
    <row r="39" spans="1:8">
      <c r="A39" s="1" t="s">
        <v>37</v>
      </c>
      <c r="B39" s="2">
        <v>0.006503853481262922</v>
      </c>
      <c r="C39" s="1">
        <v>2</v>
      </c>
      <c r="D39" s="1">
        <v>0</v>
      </c>
      <c r="E39" s="1">
        <v>2</v>
      </c>
      <c r="F39" s="1">
        <v>0</v>
      </c>
      <c r="G39" s="1">
        <v>0</v>
      </c>
      <c r="H39" s="1">
        <v>0</v>
      </c>
    </row>
    <row r="40" spans="1:8">
      <c r="A40" t="s">
        <v>39</v>
      </c>
      <c r="B40">
        <f>SUBTOTAL(109,[flash_percent])</f>
        <v>0</v>
      </c>
      <c r="C40">
        <f>SUBTOTAL(109,[flash])</f>
        <v>0</v>
      </c>
      <c r="D40">
        <f>SUBTOTAL(109,[ram])</f>
        <v>0</v>
      </c>
      <c r="E40">
        <f>SUBTOTAL(109,[Code])</f>
        <v>0</v>
      </c>
      <c r="F40">
        <f>SUBTOTAL(109,[RO_data])</f>
        <v>0</v>
      </c>
      <c r="G40">
        <f>SUBTOTAL(109,[RW_data])</f>
        <v>0</v>
      </c>
      <c r="H40">
        <f>SUBTOTAL(109,[ZI_data])</f>
        <v>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ram_percent</vt:lpstr>
      <vt:lpstr>flash_percent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2026-10-26T03:48:22Z</dcterms:created>
  <dcterms:modified xsi:type="dcterms:W3CDTF">2026-10-26T03:48:22Z</dcterms:modified>
</cp:coreProperties>
</file>